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-C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/>
      </c>
      <c r="B1" s="1">
        <v>46204</v>
      </c>
      <c r="C1" s="1">
        <v>46235</v>
      </c>
      <c r="D1" s="1">
        <v>46266</v>
      </c>
      <c r="E1" s="1">
        <v>46296</v>
      </c>
      <c r="F1" s="1">
        <v>46327</v>
      </c>
      <c r="G1" s="1">
        <v>46357</v>
      </c>
    </row>
    <row r="2">
      <c r="A2" t="str">
        <v>OPENING BALANCE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/>
      </c>
    </row>
    <row r="4">
      <c r="A4" t="str">
        <v>CASH INFLOW</v>
      </c>
    </row>
    <row r="5">
      <c r="A5" t="str">
        <v>Gross Sales - Retail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Gross Sales - Online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Other Income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TOTAL INFLOW</v>
      </c>
      <c r="B8">
        <f>SUM(B5:B7)</f>
        <v>0</v>
      </c>
      <c r="C8">
        <f>SUM(C5:C7)</f>
        <v>0</v>
      </c>
      <c r="D8">
        <f>SUM(D5:D7)</f>
        <v>0</v>
      </c>
      <c r="E8">
        <f>SUM(E5:E7)</f>
        <v>0</v>
      </c>
      <c r="F8">
        <f>SUM(F5:F7)</f>
        <v>0</v>
      </c>
      <c r="G8">
        <f>SUM(G5:G7)</f>
        <v>0</v>
      </c>
    </row>
    <row r="9">
      <c r="A9" t="str">
        <v/>
      </c>
    </row>
    <row r="10">
      <c r="A10" t="str">
        <v>CASH OUTFLOW</v>
      </c>
    </row>
    <row r="11">
      <c r="A11" t="str">
        <v>Salaries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tr">
        <v>Marketing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tr">
        <v>Admin Expenses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tr">
        <v>Less: Depreciation (non-cash)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tr">
        <v>TOTAL OUTFLOW</v>
      </c>
      <c r="B15">
        <f>SUM(B11:B14)</f>
        <v>0</v>
      </c>
      <c r="C15">
        <f>SUM(C11:C14)</f>
        <v>0</v>
      </c>
      <c r="D15">
        <f>SUM(D11:D14)</f>
        <v>0</v>
      </c>
      <c r="E15">
        <f>SUM(E11:E14)</f>
        <v>0</v>
      </c>
      <c r="F15">
        <f>SUM(F11:F14)</f>
        <v>0</v>
      </c>
      <c r="G15">
        <f>SUM(G11:G14)</f>
        <v>0</v>
      </c>
    </row>
    <row r="16">
      <c r="A16" t="str">
        <v/>
      </c>
    </row>
    <row r="17">
      <c r="A17" t="str">
        <v>NET CASH FLOW</v>
      </c>
      <c r="B17">
        <f>B8-B15</f>
        <v>0</v>
      </c>
      <c r="C17">
        <f>C8-C15</f>
        <v>0</v>
      </c>
      <c r="D17">
        <f>D8-D15</f>
        <v>0</v>
      </c>
      <c r="E17">
        <f>E8-E15</f>
        <v>0</v>
      </c>
      <c r="F17">
        <f>F8-F15</f>
        <v>0</v>
      </c>
      <c r="G17">
        <f>G8-G15</f>
        <v>0</v>
      </c>
    </row>
    <row r="18">
      <c r="A18" t="str">
        <v>CLOSING BALANCE</v>
      </c>
      <c r="B18">
        <f>B2+B17</f>
        <v>0</v>
      </c>
      <c r="C18">
        <f>C2+C17</f>
        <v>0</v>
      </c>
      <c r="D18">
        <f>D2+D17</f>
        <v>0</v>
      </c>
      <c r="E18">
        <f>E2+E17</f>
        <v>0</v>
      </c>
      <c r="F18">
        <f>F2+F17</f>
        <v>0</v>
      </c>
      <c r="G18">
        <f>G2+G17</f>
        <v>0</v>
      </c>
    </row>
    <row r="19">
      <c r="A19" t="str">
        <v/>
      </c>
    </row>
    <row r="20">
      <c r="A20" t="str">
        <v>Note: Each month closing should equal next month opening. Depreciation is included as outflow but represents non-cash — net cash flow reflects actual cash movement.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