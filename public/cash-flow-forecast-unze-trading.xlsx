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onthly-CF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mmm 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2"/>
  <sheetViews>
    <sheetView workbookViewId="0"/>
  </sheetViews>
  <cols>
    <col min="1" max="1" width="32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14.83203125" customWidth="1"/>
  </cols>
  <sheetData>
    <row r="1">
      <c r="A1" t="str">
        <v/>
      </c>
      <c r="B1" s="1">
        <v>46204</v>
      </c>
      <c r="C1" s="1">
        <v>46235</v>
      </c>
      <c r="D1" s="1">
        <v>46266</v>
      </c>
      <c r="E1" s="1">
        <v>46296</v>
      </c>
      <c r="F1" s="1">
        <v>46327</v>
      </c>
      <c r="G1" s="1">
        <v>46357</v>
      </c>
    </row>
    <row r="2">
      <c r="A2" t="str">
        <v>OPENING BALANCE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>
      <c r="A3" t="str">
        <v/>
      </c>
    </row>
    <row r="4">
      <c r="A4" t="str">
        <v>CASH INFLOW</v>
      </c>
    </row>
    <row r="5">
      <c r="A5" t="str">
        <v>Revenue - PESCO Plant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>
      <c r="A6" t="str">
        <v>Revenue - MEPCO Plant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>
      <c r="A7" t="str">
        <v>Revenue - FESCO Plant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>
      <c r="A8" t="str">
        <v>Revenue - Meters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>
      <c r="A9" t="str">
        <v>Other Income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>
      <c r="A10" t="str">
        <v>TOTAL INFLOW</v>
      </c>
      <c r="B10">
        <f>SUM(B5:B9)</f>
        <v>0</v>
      </c>
      <c r="C10">
        <f>SUM(C5:C9)</f>
        <v>0</v>
      </c>
      <c r="D10">
        <f>SUM(D5:D9)</f>
        <v>0</v>
      </c>
      <c r="E10">
        <f>SUM(E5:E9)</f>
        <v>0</v>
      </c>
      <c r="F10">
        <f>SUM(F5:F9)</f>
        <v>0</v>
      </c>
      <c r="G10">
        <f>SUM(G5:G9)</f>
        <v>0</v>
      </c>
    </row>
    <row r="11">
      <c r="A11" t="str">
        <v/>
      </c>
    </row>
    <row r="12">
      <c r="A12" t="str">
        <v>CASH OUTFLOW</v>
      </c>
    </row>
    <row r="13">
      <c r="A13" t="str">
        <v>Salaries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>
      <c r="A14" t="str">
        <v>Admin Expenses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>
      <c r="A15" t="str">
        <v>Welfare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>
      <c r="A16" t="str">
        <v>Less: Depreciation (non-cash)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tr">
        <v>TOTAL OUTFLOW</v>
      </c>
      <c r="B17">
        <f>SUM(B13:B16)</f>
        <v>0</v>
      </c>
      <c r="C17">
        <f>SUM(C13:C16)</f>
        <v>0</v>
      </c>
      <c r="D17">
        <f>SUM(D13:D16)</f>
        <v>0</v>
      </c>
      <c r="E17">
        <f>SUM(E13:E16)</f>
        <v>0</v>
      </c>
      <c r="F17">
        <f>SUM(F13:F16)</f>
        <v>0</v>
      </c>
      <c r="G17">
        <f>SUM(G13:G16)</f>
        <v>0</v>
      </c>
    </row>
    <row r="18">
      <c r="A18" t="str">
        <v/>
      </c>
    </row>
    <row r="19">
      <c r="A19" t="str">
        <v>NET CASH FLOW</v>
      </c>
      <c r="B19">
        <f>B10-B17</f>
        <v>0</v>
      </c>
      <c r="C19">
        <f>C10-C17</f>
        <v>0</v>
      </c>
      <c r="D19">
        <f>D10-D17</f>
        <v>0</v>
      </c>
      <c r="E19">
        <f>E10-E17</f>
        <v>0</v>
      </c>
      <c r="F19">
        <f>F10-F17</f>
        <v>0</v>
      </c>
      <c r="G19">
        <f>G10-G17</f>
        <v>0</v>
      </c>
    </row>
    <row r="20">
      <c r="A20" t="str">
        <v>CLOSING BALANCE</v>
      </c>
      <c r="B20">
        <f>B2+B19</f>
        <v>0</v>
      </c>
      <c r="C20">
        <f>C2+C19</f>
        <v>0</v>
      </c>
      <c r="D20">
        <f>D2+D19</f>
        <v>0</v>
      </c>
      <c r="E20">
        <f>E2+E19</f>
        <v>0</v>
      </c>
      <c r="F20">
        <f>F2+F19</f>
        <v>0</v>
      </c>
      <c r="G20">
        <f>G2+G19</f>
        <v>0</v>
      </c>
    </row>
    <row r="21">
      <c r="A21" t="str">
        <v/>
      </c>
    </row>
    <row r="22">
      <c r="A22" t="str">
        <v>Note: Each month closing should equal next month opening. Depreciation is included as outflow but represents non-cash — net cash flow reflects actual cash movement.</v>
      </c>
    </row>
  </sheetData>
  <ignoredErrors>
    <ignoredError numberStoredAsText="1" sqref="A1:G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Monthly-CF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